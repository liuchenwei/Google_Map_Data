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0" yWindow="0" windowWidth="20880" windowHeight="862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1" i="1" l="1"/>
  <c r="C45" i="1"/>
  <c r="C53" i="1"/>
  <c r="C54" i="1"/>
  <c r="C47" i="1"/>
  <c r="C55" i="1"/>
  <c r="C48" i="1"/>
  <c r="C56" i="1"/>
  <c r="C57" i="1"/>
  <c r="C50" i="1"/>
  <c r="C44" i="1"/>
  <c r="C46" i="1"/>
  <c r="C49" i="1"/>
  <c r="C51" i="1"/>
  <c r="C52" i="1"/>
  <c r="B44" i="1"/>
  <c r="B52" i="1"/>
  <c r="B45" i="1"/>
  <c r="B53" i="1"/>
  <c r="B46" i="1"/>
  <c r="B54" i="1"/>
  <c r="B47" i="1"/>
  <c r="B55" i="1"/>
  <c r="B49" i="1"/>
  <c r="B57" i="1"/>
  <c r="B51" i="1"/>
  <c r="B48" i="1"/>
  <c r="B56" i="1"/>
  <c r="B50" i="1"/>
  <c r="C42" i="1"/>
  <c r="C43" i="1"/>
  <c r="C41" i="1"/>
  <c r="B43" i="1"/>
  <c r="B42" i="1"/>
  <c r="D23" i="1"/>
  <c r="C23" i="1"/>
  <c r="D22" i="1"/>
  <c r="C22" i="1"/>
</calcChain>
</file>

<file path=xl/sharedStrings.xml><?xml version="1.0" encoding="utf-8"?>
<sst xmlns="http://schemas.openxmlformats.org/spreadsheetml/2006/main" count="160" uniqueCount="104">
  <si>
    <t>Optimal Time</t>
  </si>
  <si>
    <t>Origin</t>
  </si>
  <si>
    <t>Destination</t>
  </si>
  <si>
    <t>Drive Distance</t>
  </si>
  <si>
    <t>Drive Duration</t>
  </si>
  <si>
    <t>New York City,NY</t>
  </si>
  <si>
    <t>1291.4 kilometers</t>
  </si>
  <si>
    <t>11 hours 37 minutes</t>
  </si>
  <si>
    <t>329.4 kilometers</t>
  </si>
  <si>
    <t>3 hours 16 minutes</t>
  </si>
  <si>
    <t>395.1 kilometers</t>
  </si>
  <si>
    <t>3 hours 53 minutes</t>
  </si>
  <si>
    <t>Ann Arbor, MI</t>
  </si>
  <si>
    <t>1005.9 kilometers</t>
  </si>
  <si>
    <t>9 hours 10 minutes</t>
  </si>
  <si>
    <t>Minneapolis,MN</t>
  </si>
  <si>
    <t>1944.9 kilometers</t>
  </si>
  <si>
    <t>17 hours 28 minutes</t>
  </si>
  <si>
    <t>Philadelphia,PA</t>
  </si>
  <si>
    <t>179.2 kilometers</t>
  </si>
  <si>
    <t>1 hours 57 minutes</t>
  </si>
  <si>
    <t>New Orlean,LA</t>
  </si>
  <si>
    <t>19 hours 5 minutes</t>
  </si>
  <si>
    <t>Los Angeles,CA</t>
  </si>
  <si>
    <t>4508.9 kilometers</t>
  </si>
  <si>
    <t>39 hours 48 minutes</t>
  </si>
  <si>
    <t>Detroit,MI</t>
  </si>
  <si>
    <t>1007.2 kilometers</t>
  </si>
  <si>
    <t>9 hours 7 minutes</t>
  </si>
  <si>
    <t>Albany,NY</t>
  </si>
  <si>
    <t>248.2 kilometers</t>
  </si>
  <si>
    <t>2 hours 29 minutes</t>
  </si>
  <si>
    <t>San Francisco,CA</t>
  </si>
  <si>
    <t>614.2 kilometers</t>
  </si>
  <si>
    <t>5 hours 28 minutes</t>
  </si>
  <si>
    <t>Phoenix, AZ</t>
  </si>
  <si>
    <t>598.8 kilometers</t>
  </si>
  <si>
    <t>5 hours 18 minutes</t>
  </si>
  <si>
    <t>Las Vegas,NV</t>
  </si>
  <si>
    <t>434.8 kilometers</t>
  </si>
  <si>
    <t>3 hours 50 minutes</t>
  </si>
  <si>
    <t>Houston,TX</t>
  </si>
  <si>
    <t>2491.4 kilometers</t>
  </si>
  <si>
    <t>21 hours 51 minutes</t>
  </si>
  <si>
    <t>Los Gatos,CA</t>
  </si>
  <si>
    <t>71.4 kilometers</t>
  </si>
  <si>
    <t>43 minutes</t>
  </si>
  <si>
    <t>Addison, TX</t>
  </si>
  <si>
    <t>2321.4 kilometers</t>
  </si>
  <si>
    <t>20 hours 24 minutes</t>
  </si>
  <si>
    <t>Atlanta,GA</t>
  </si>
  <si>
    <t>Bellevue, WA</t>
  </si>
  <si>
    <t>4233.4 kilometers</t>
  </si>
  <si>
    <t>37 hours 31 minutes</t>
  </si>
  <si>
    <t>New York City,NY</t>
    <phoneticPr fontId="1" type="noConversion"/>
  </si>
  <si>
    <t>Boston, MA</t>
    <phoneticPr fontId="1" type="noConversion"/>
  </si>
  <si>
    <t>Chicago,IL</t>
    <phoneticPr fontId="1" type="noConversion"/>
  </si>
  <si>
    <t>New York City,NY</t>
    <phoneticPr fontId="1" type="noConversion"/>
  </si>
  <si>
    <t>New York City,NY</t>
    <phoneticPr fontId="1" type="noConversion"/>
  </si>
  <si>
    <t>Washington,DC</t>
    <phoneticPr fontId="1" type="noConversion"/>
  </si>
  <si>
    <t>Los Angeles,CA</t>
    <phoneticPr fontId="1" type="noConversion"/>
  </si>
  <si>
    <t>2127.3 kilometers</t>
    <phoneticPr fontId="1" type="noConversion"/>
  </si>
  <si>
    <t>Minneapolis,MN</t>
    <phoneticPr fontId="1" type="noConversion"/>
  </si>
  <si>
    <t>New York City,NY</t>
    <phoneticPr fontId="1" type="noConversion"/>
  </si>
  <si>
    <t>Boston, MA</t>
    <phoneticPr fontId="1" type="noConversion"/>
  </si>
  <si>
    <t>987.074 km</t>
  </si>
  <si>
    <t>1937.695 km</t>
  </si>
  <si>
    <t>156.43 km</t>
  </si>
  <si>
    <t>2099.971 km</t>
  </si>
  <si>
    <t>4489.862 km</t>
  </si>
  <si>
    <t>244.622 km</t>
  </si>
  <si>
    <t>989.442 km</t>
  </si>
  <si>
    <t>614.552 km</t>
  </si>
  <si>
    <t>598.791 km</t>
  </si>
  <si>
    <t>434.833 km</t>
  </si>
  <si>
    <t>2491.117 km</t>
  </si>
  <si>
    <t>2327.481 km</t>
  </si>
  <si>
    <t>548.792 km</t>
  </si>
  <si>
    <t>4233.755 km</t>
  </si>
  <si>
    <t>New York City,NY</t>
    <phoneticPr fontId="1" type="noConversion"/>
  </si>
  <si>
    <t>Los Angeles,CA</t>
    <phoneticPr fontId="1" type="noConversion"/>
  </si>
  <si>
    <t>1270.439 km</t>
  </si>
  <si>
    <t xml:space="preserve">12.02 hour </t>
  </si>
  <si>
    <t>346.159 km</t>
  </si>
  <si>
    <t xml:space="preserve">3.63 hour </t>
  </si>
  <si>
    <t>364.082 km</t>
  </si>
  <si>
    <t xml:space="preserve">3.89 hour </t>
  </si>
  <si>
    <t xml:space="preserve">9.40 hour </t>
  </si>
  <si>
    <t xml:space="preserve">17.93 hour </t>
  </si>
  <si>
    <t xml:space="preserve">1.83 hour </t>
  </si>
  <si>
    <t xml:space="preserve">19.13 hour </t>
  </si>
  <si>
    <t xml:space="preserve">40.13 hour </t>
  </si>
  <si>
    <t xml:space="preserve">9.36 hour </t>
  </si>
  <si>
    <t xml:space="preserve">2.56 hour </t>
  </si>
  <si>
    <t xml:space="preserve">5.69 hour </t>
  </si>
  <si>
    <t xml:space="preserve">5.46 hour </t>
  </si>
  <si>
    <t xml:space="preserve">3.92 hour </t>
  </si>
  <si>
    <t xml:space="preserve">21.66 hour </t>
  </si>
  <si>
    <t xml:space="preserve">5.16 hour </t>
  </si>
  <si>
    <t xml:space="preserve">20.42 hour </t>
  </si>
  <si>
    <t xml:space="preserve">37.70 hour </t>
  </si>
  <si>
    <t>Chicago,IL</t>
    <phoneticPr fontId="1" type="noConversion"/>
  </si>
  <si>
    <t>Lat</t>
    <phoneticPr fontId="1" type="noConversion"/>
  </si>
  <si>
    <t>Lng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</si>
</sst>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000000"/>
      <name val="Arial Unicode MS"/>
      <family val="2"/>
      <charset val="134"/>
    </font>
    <font>
      <b/>
      <sz val="10"/>
      <color rgb="FF000000"/>
      <name val="Arial Unicode MS"/>
      <family val="2"/>
      <charset val="134"/>
    </font>
    <font>
      <sz val="10"/>
      <color rgb="FF000000"/>
      <name val="Arial Unicode MS"/>
      <family val="2"/>
      <charset val="134"/>
    </font>
    <font>
      <sz val="10"/>
      <color rgb="FFFF0000"/>
      <name val="Arial Unicode MS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默认表"/>
  <dimension ref="A1:AC57"/>
  <sheetViews>
    <sheetView tabSelected="1" zoomScale="160" zoomScaleNormal="160" workbookViewId="0">
      <selection activeCell="D30" sqref="D30"/>
    </sheetView>
  </sheetViews>
  <sheetFormatPr defaultRowHeight="13.5" x14ac:dyDescent="0.15"/>
  <cols>
    <col min="1" max="1" width="24" customWidth="1"/>
    <col min="2" max="2" width="14.75" customWidth="1"/>
    <col min="3" max="3" width="16.875" customWidth="1"/>
    <col min="4" max="4" width="16.375" customWidth="1"/>
    <col min="5" max="5" width="13" customWidth="1"/>
    <col min="6" max="6" width="38.625" customWidth="1"/>
    <col min="17" max="17" width="6.25" customWidth="1"/>
    <col min="18" max="23" width="9" hidden="1" customWidth="1"/>
  </cols>
  <sheetData>
    <row r="1" spans="1:29" ht="16.5" customHeight="1" x14ac:dyDescent="0.15">
      <c r="A1" s="8" t="s">
        <v>0</v>
      </c>
      <c r="B1" s="8"/>
      <c r="C1" s="8"/>
      <c r="D1" s="8"/>
    </row>
    <row r="2" spans="1:29" ht="15" x14ac:dyDescent="0.15">
      <c r="A2" s="1" t="s">
        <v>1</v>
      </c>
      <c r="B2" s="1" t="s">
        <v>2</v>
      </c>
      <c r="C2" s="1" t="s">
        <v>3</v>
      </c>
      <c r="D2" s="1" t="s">
        <v>4</v>
      </c>
      <c r="X2" s="3"/>
      <c r="Y2" s="3"/>
      <c r="Z2" s="3"/>
      <c r="AA2" s="3"/>
      <c r="AB2" s="3"/>
      <c r="AC2" s="3"/>
    </row>
    <row r="3" spans="1:29" ht="15" x14ac:dyDescent="0.15">
      <c r="A3" s="2" t="s">
        <v>57</v>
      </c>
      <c r="B3" s="2" t="s">
        <v>56</v>
      </c>
      <c r="C3" s="2" t="s">
        <v>6</v>
      </c>
      <c r="D3" s="2" t="s">
        <v>7</v>
      </c>
      <c r="E3" t="s">
        <v>81</v>
      </c>
      <c r="F3" t="s">
        <v>82</v>
      </c>
    </row>
    <row r="4" spans="1:29" ht="15" x14ac:dyDescent="0.15">
      <c r="A4" s="2" t="s">
        <v>63</v>
      </c>
      <c r="B4" s="2" t="s">
        <v>64</v>
      </c>
      <c r="C4" s="2" t="s">
        <v>8</v>
      </c>
      <c r="D4" s="2" t="s">
        <v>9</v>
      </c>
      <c r="E4" t="s">
        <v>83</v>
      </c>
      <c r="F4" t="s">
        <v>84</v>
      </c>
    </row>
    <row r="5" spans="1:29" ht="15" x14ac:dyDescent="0.15">
      <c r="A5" s="2" t="s">
        <v>58</v>
      </c>
      <c r="B5" s="2" t="s">
        <v>59</v>
      </c>
      <c r="C5" s="2" t="s">
        <v>10</v>
      </c>
      <c r="D5" s="2" t="s">
        <v>11</v>
      </c>
      <c r="E5" t="s">
        <v>85</v>
      </c>
      <c r="F5" t="s">
        <v>86</v>
      </c>
    </row>
    <row r="6" spans="1:29" ht="15" x14ac:dyDescent="0.15">
      <c r="A6" s="2" t="s">
        <v>5</v>
      </c>
      <c r="B6" s="2" t="s">
        <v>12</v>
      </c>
      <c r="C6" s="2" t="s">
        <v>13</v>
      </c>
      <c r="D6" s="2" t="s">
        <v>14</v>
      </c>
      <c r="E6" t="s">
        <v>65</v>
      </c>
      <c r="F6" t="s">
        <v>87</v>
      </c>
    </row>
    <row r="7" spans="1:29" ht="15" x14ac:dyDescent="0.15">
      <c r="A7" s="2" t="s">
        <v>5</v>
      </c>
      <c r="B7" s="2" t="s">
        <v>15</v>
      </c>
      <c r="C7" s="2" t="s">
        <v>16</v>
      </c>
      <c r="D7" s="2" t="s">
        <v>17</v>
      </c>
      <c r="E7" t="s">
        <v>66</v>
      </c>
      <c r="F7" t="s">
        <v>88</v>
      </c>
    </row>
    <row r="8" spans="1:29" ht="15" x14ac:dyDescent="0.15">
      <c r="A8" s="2" t="s">
        <v>5</v>
      </c>
      <c r="B8" s="2" t="s">
        <v>18</v>
      </c>
      <c r="C8" s="2" t="s">
        <v>19</v>
      </c>
      <c r="D8" s="2" t="s">
        <v>20</v>
      </c>
      <c r="E8" t="s">
        <v>67</v>
      </c>
      <c r="F8" t="s">
        <v>89</v>
      </c>
    </row>
    <row r="9" spans="1:29" ht="15" x14ac:dyDescent="0.15">
      <c r="A9" s="2" t="s">
        <v>5</v>
      </c>
      <c r="B9" s="2" t="s">
        <v>21</v>
      </c>
      <c r="C9" s="2" t="s">
        <v>61</v>
      </c>
      <c r="D9" s="2" t="s">
        <v>22</v>
      </c>
      <c r="E9" t="s">
        <v>68</v>
      </c>
      <c r="F9" t="s">
        <v>90</v>
      </c>
    </row>
    <row r="10" spans="1:29" ht="12" customHeight="1" x14ac:dyDescent="0.15">
      <c r="A10" s="2" t="s">
        <v>79</v>
      </c>
      <c r="B10" s="2" t="s">
        <v>80</v>
      </c>
      <c r="C10" s="2" t="s">
        <v>24</v>
      </c>
      <c r="D10" s="2" t="s">
        <v>25</v>
      </c>
      <c r="E10" s="3" t="s">
        <v>69</v>
      </c>
      <c r="F10" s="3" t="s">
        <v>91</v>
      </c>
    </row>
    <row r="11" spans="1:29" ht="15" x14ac:dyDescent="0.15">
      <c r="A11" s="2" t="s">
        <v>5</v>
      </c>
      <c r="B11" s="2" t="s">
        <v>26</v>
      </c>
      <c r="C11" s="2" t="s">
        <v>27</v>
      </c>
      <c r="D11" s="2" t="s">
        <v>28</v>
      </c>
      <c r="E11" t="s">
        <v>71</v>
      </c>
      <c r="F11" t="s">
        <v>92</v>
      </c>
    </row>
    <row r="12" spans="1:29" ht="15" x14ac:dyDescent="0.15">
      <c r="A12" s="2" t="s">
        <v>5</v>
      </c>
      <c r="B12" s="2" t="s">
        <v>29</v>
      </c>
      <c r="C12" s="2" t="s">
        <v>30</v>
      </c>
      <c r="D12" s="2" t="s">
        <v>31</v>
      </c>
      <c r="E12" t="s">
        <v>70</v>
      </c>
      <c r="F12" t="s">
        <v>93</v>
      </c>
    </row>
    <row r="13" spans="1:29" ht="15" x14ac:dyDescent="0.15">
      <c r="A13" s="2" t="s">
        <v>23</v>
      </c>
      <c r="B13" s="2" t="s">
        <v>32</v>
      </c>
      <c r="C13" s="2" t="s">
        <v>33</v>
      </c>
      <c r="D13" s="2" t="s">
        <v>34</v>
      </c>
      <c r="E13" t="s">
        <v>72</v>
      </c>
      <c r="F13" t="s">
        <v>94</v>
      </c>
    </row>
    <row r="14" spans="1:29" ht="15" x14ac:dyDescent="0.15">
      <c r="A14" s="2" t="s">
        <v>23</v>
      </c>
      <c r="B14" s="2" t="s">
        <v>35</v>
      </c>
      <c r="C14" s="2" t="s">
        <v>36</v>
      </c>
      <c r="D14" s="2" t="s">
        <v>37</v>
      </c>
      <c r="E14" t="s">
        <v>73</v>
      </c>
      <c r="F14" t="s">
        <v>95</v>
      </c>
    </row>
    <row r="15" spans="1:29" ht="15" x14ac:dyDescent="0.15">
      <c r="A15" s="2" t="s">
        <v>23</v>
      </c>
      <c r="B15" s="2" t="s">
        <v>38</v>
      </c>
      <c r="C15" s="2" t="s">
        <v>39</v>
      </c>
      <c r="D15" s="2" t="s">
        <v>40</v>
      </c>
      <c r="E15" t="s">
        <v>74</v>
      </c>
      <c r="F15" t="s">
        <v>96</v>
      </c>
    </row>
    <row r="16" spans="1:29" ht="15" x14ac:dyDescent="0.15">
      <c r="A16" s="2" t="s">
        <v>23</v>
      </c>
      <c r="B16" s="2" t="s">
        <v>41</v>
      </c>
      <c r="C16" s="2" t="s">
        <v>42</v>
      </c>
      <c r="D16" s="2" t="s">
        <v>43</v>
      </c>
      <c r="E16" t="s">
        <v>75</v>
      </c>
      <c r="F16" t="s">
        <v>97</v>
      </c>
    </row>
    <row r="17" spans="1:6" ht="15" x14ac:dyDescent="0.15">
      <c r="A17" s="2" t="s">
        <v>23</v>
      </c>
      <c r="B17" s="2" t="s">
        <v>44</v>
      </c>
      <c r="C17" s="2" t="s">
        <v>45</v>
      </c>
      <c r="D17" s="2" t="s">
        <v>46</v>
      </c>
      <c r="E17" t="s">
        <v>77</v>
      </c>
      <c r="F17" t="s">
        <v>98</v>
      </c>
    </row>
    <row r="18" spans="1:6" ht="15" x14ac:dyDescent="0.15">
      <c r="A18" s="2" t="s">
        <v>23</v>
      </c>
      <c r="B18" s="2" t="s">
        <v>47</v>
      </c>
      <c r="C18" s="2" t="s">
        <v>48</v>
      </c>
      <c r="D18" s="2" t="s">
        <v>49</v>
      </c>
      <c r="E18" t="s">
        <v>76</v>
      </c>
      <c r="F18" t="s">
        <v>99</v>
      </c>
    </row>
    <row r="19" spans="1:6" ht="15" x14ac:dyDescent="0.15">
      <c r="A19" s="2" t="s">
        <v>50</v>
      </c>
      <c r="B19" s="2" t="s">
        <v>51</v>
      </c>
      <c r="C19" s="2" t="s">
        <v>52</v>
      </c>
      <c r="D19" s="2" t="s">
        <v>53</v>
      </c>
      <c r="E19" t="s">
        <v>78</v>
      </c>
      <c r="F19" t="s">
        <v>100</v>
      </c>
    </row>
    <row r="22" spans="1:6" ht="15" x14ac:dyDescent="0.15">
      <c r="A22" s="2" t="s">
        <v>57</v>
      </c>
      <c r="B22" s="2" t="s">
        <v>56</v>
      </c>
      <c r="C22" s="4" t="str">
        <f>distanceDataFun(A22,B22)</f>
        <v>1270.439 km</v>
      </c>
      <c r="D22" t="str">
        <f>durationDataFun(A22,B22)</f>
        <v xml:space="preserve">12.02 hour </v>
      </c>
    </row>
    <row r="23" spans="1:6" ht="15" x14ac:dyDescent="0.15">
      <c r="A23" s="2" t="s">
        <v>54</v>
      </c>
      <c r="B23" s="2" t="s">
        <v>55</v>
      </c>
      <c r="C23" s="4" t="str">
        <f>distanceDataFun(A23,B23)</f>
        <v>346.159 km</v>
      </c>
      <c r="D23" t="str">
        <f>durationDataFun(A23,B23)</f>
        <v xml:space="preserve">3.63 hour </v>
      </c>
    </row>
    <row r="24" spans="1:6" ht="15" x14ac:dyDescent="0.15">
      <c r="A24" s="2" t="s">
        <v>58</v>
      </c>
      <c r="B24" s="2" t="s">
        <v>59</v>
      </c>
      <c r="C24" s="4"/>
    </row>
    <row r="25" spans="1:6" ht="15" x14ac:dyDescent="0.15">
      <c r="A25" s="2" t="s">
        <v>5</v>
      </c>
      <c r="B25" s="2" t="s">
        <v>12</v>
      </c>
      <c r="C25" s="4"/>
    </row>
    <row r="26" spans="1:6" ht="15" x14ac:dyDescent="0.15">
      <c r="A26" s="2" t="s">
        <v>5</v>
      </c>
      <c r="B26" s="2" t="s">
        <v>62</v>
      </c>
      <c r="C26" s="4"/>
    </row>
    <row r="27" spans="1:6" ht="15" x14ac:dyDescent="0.15">
      <c r="A27" s="2" t="s">
        <v>5</v>
      </c>
      <c r="B27" s="2" t="s">
        <v>18</v>
      </c>
      <c r="C27" s="4"/>
    </row>
    <row r="28" spans="1:6" ht="15" x14ac:dyDescent="0.15">
      <c r="A28" s="2" t="s">
        <v>5</v>
      </c>
      <c r="B28" s="2" t="s">
        <v>21</v>
      </c>
      <c r="C28" s="4"/>
    </row>
    <row r="29" spans="1:6" ht="15" x14ac:dyDescent="0.15">
      <c r="A29" s="2" t="s">
        <v>58</v>
      </c>
      <c r="B29" s="2" t="s">
        <v>60</v>
      </c>
      <c r="C29" s="4"/>
    </row>
    <row r="30" spans="1:6" ht="15" x14ac:dyDescent="0.15">
      <c r="A30" s="2" t="s">
        <v>5</v>
      </c>
      <c r="B30" s="2" t="s">
        <v>26</v>
      </c>
      <c r="C30" s="4"/>
    </row>
    <row r="31" spans="1:6" ht="15" x14ac:dyDescent="0.15">
      <c r="A31" s="2" t="s">
        <v>5</v>
      </c>
      <c r="B31" s="2" t="s">
        <v>29</v>
      </c>
      <c r="C31" s="4"/>
    </row>
    <row r="32" spans="1:6" ht="15" x14ac:dyDescent="0.15">
      <c r="A32" s="2" t="s">
        <v>23</v>
      </c>
      <c r="B32" s="2" t="s">
        <v>32</v>
      </c>
      <c r="C32" s="4"/>
    </row>
    <row r="33" spans="1:3" ht="15" x14ac:dyDescent="0.15">
      <c r="A33" s="2" t="s">
        <v>23</v>
      </c>
      <c r="B33" s="2" t="s">
        <v>35</v>
      </c>
      <c r="C33" s="4"/>
    </row>
    <row r="34" spans="1:3" ht="15" x14ac:dyDescent="0.15">
      <c r="A34" s="2" t="s">
        <v>23</v>
      </c>
      <c r="B34" s="2" t="s">
        <v>38</v>
      </c>
      <c r="C34" s="4"/>
    </row>
    <row r="35" spans="1:3" ht="15" x14ac:dyDescent="0.15">
      <c r="A35" s="2" t="s">
        <v>23</v>
      </c>
      <c r="B35" s="2" t="s">
        <v>41</v>
      </c>
      <c r="C35" s="4"/>
    </row>
    <row r="36" spans="1:3" ht="15" x14ac:dyDescent="0.15">
      <c r="A36" s="2" t="s">
        <v>23</v>
      </c>
      <c r="B36" s="2" t="s">
        <v>44</v>
      </c>
      <c r="C36" s="4"/>
    </row>
    <row r="37" spans="1:3" ht="15" x14ac:dyDescent="0.15">
      <c r="A37" s="2" t="s">
        <v>23</v>
      </c>
      <c r="B37" s="2" t="s">
        <v>47</v>
      </c>
      <c r="C37" s="4"/>
    </row>
    <row r="38" spans="1:3" ht="15" x14ac:dyDescent="0.15">
      <c r="A38" s="2" t="s">
        <v>50</v>
      </c>
      <c r="B38" s="2" t="s">
        <v>51</v>
      </c>
      <c r="C38" s="4"/>
    </row>
    <row r="39" spans="1:3" ht="15" x14ac:dyDescent="0.15">
      <c r="A39" s="2"/>
      <c r="B39" s="2"/>
      <c r="C39" s="4"/>
    </row>
    <row r="40" spans="1:3" ht="15" x14ac:dyDescent="0.15">
      <c r="A40" s="2"/>
      <c r="B40" s="5" t="s">
        <v>102</v>
      </c>
      <c r="C40" s="7" t="s">
        <v>103</v>
      </c>
    </row>
    <row r="41" spans="1:3" ht="15" x14ac:dyDescent="0.15">
      <c r="A41" s="2" t="s">
        <v>101</v>
      </c>
      <c r="B41" s="6" t="str">
        <f>latDataFun(A41)</f>
        <v>41.8781136</v>
      </c>
      <c r="C41" t="str">
        <f>lngDataFun(A41)</f>
        <v>-87.6297982</v>
      </c>
    </row>
    <row r="42" spans="1:3" ht="15" x14ac:dyDescent="0.15">
      <c r="A42" s="2" t="s">
        <v>55</v>
      </c>
      <c r="B42" s="6" t="str">
        <f>latDataFun(A42)</f>
        <v>42.3600825</v>
      </c>
      <c r="C42" t="str">
        <f t="shared" ref="C42:C57" si="0">lngDataFun(A42)</f>
        <v>-71.0588801</v>
      </c>
    </row>
    <row r="43" spans="1:3" ht="15" x14ac:dyDescent="0.15">
      <c r="A43" s="2" t="s">
        <v>59</v>
      </c>
      <c r="B43" s="6" t="str">
        <f>latDataFun(A43)</f>
        <v>38.9071923</v>
      </c>
      <c r="C43" t="str">
        <f t="shared" si="0"/>
        <v>-77.03687069999999</v>
      </c>
    </row>
    <row r="44" spans="1:3" ht="15" x14ac:dyDescent="0.15">
      <c r="A44" s="2" t="s">
        <v>12</v>
      </c>
      <c r="B44" s="6" t="str">
        <f t="shared" ref="B44:B57" si="1">latDataFun(A44)</f>
        <v>42.2808256</v>
      </c>
      <c r="C44" t="str">
        <f t="shared" si="0"/>
        <v>-83.7430378</v>
      </c>
    </row>
    <row r="45" spans="1:3" ht="15" x14ac:dyDescent="0.15">
      <c r="A45" s="2" t="s">
        <v>62</v>
      </c>
      <c r="B45" s="6" t="str">
        <f t="shared" si="1"/>
        <v>44.977753</v>
      </c>
      <c r="C45" t="str">
        <f t="shared" si="0"/>
        <v>-93.2650108</v>
      </c>
    </row>
    <row r="46" spans="1:3" ht="15" x14ac:dyDescent="0.15">
      <c r="A46" s="2" t="s">
        <v>18</v>
      </c>
      <c r="B46" s="6" t="str">
        <f t="shared" si="1"/>
        <v>39.9525839</v>
      </c>
      <c r="C46" t="str">
        <f t="shared" si="0"/>
        <v>-75.1652215</v>
      </c>
    </row>
    <row r="47" spans="1:3" ht="15" x14ac:dyDescent="0.15">
      <c r="A47" s="2" t="s">
        <v>21</v>
      </c>
      <c r="B47" s="6" t="str">
        <f t="shared" si="1"/>
        <v>29.95106579999999</v>
      </c>
      <c r="C47" t="str">
        <f t="shared" si="0"/>
        <v>-90.0715323</v>
      </c>
    </row>
    <row r="48" spans="1:3" ht="15" x14ac:dyDescent="0.15">
      <c r="A48" s="2" t="s">
        <v>60</v>
      </c>
      <c r="B48" s="6" t="str">
        <f t="shared" si="1"/>
        <v>34.0522342</v>
      </c>
      <c r="C48" t="str">
        <f t="shared" si="0"/>
        <v>-118.2436849</v>
      </c>
    </row>
    <row r="49" spans="1:3" ht="15" x14ac:dyDescent="0.15">
      <c r="A49" s="2" t="s">
        <v>26</v>
      </c>
      <c r="B49" s="6" t="str">
        <f t="shared" si="1"/>
        <v>42.331427</v>
      </c>
      <c r="C49" t="str">
        <f t="shared" si="0"/>
        <v>-83.0457538</v>
      </c>
    </row>
    <row r="50" spans="1:3" ht="15" x14ac:dyDescent="0.15">
      <c r="A50" s="2" t="s">
        <v>29</v>
      </c>
      <c r="B50" s="6" t="str">
        <f t="shared" si="1"/>
        <v>42.6525793</v>
      </c>
      <c r="C50" t="str">
        <f t="shared" si="0"/>
        <v>-73.7562317</v>
      </c>
    </row>
    <row r="51" spans="1:3" ht="15" x14ac:dyDescent="0.15">
      <c r="A51" s="2" t="s">
        <v>32</v>
      </c>
      <c r="B51" s="6" t="str">
        <f t="shared" si="1"/>
        <v>37.7749295</v>
      </c>
      <c r="C51" t="str">
        <f t="shared" si="0"/>
        <v>-122.4194155</v>
      </c>
    </row>
    <row r="52" spans="1:3" ht="15" x14ac:dyDescent="0.15">
      <c r="A52" s="2" t="s">
        <v>35</v>
      </c>
      <c r="B52" s="6" t="str">
        <f t="shared" si="1"/>
        <v>33.4483771</v>
      </c>
      <c r="C52" t="str">
        <f t="shared" si="0"/>
        <v>-112.0740373</v>
      </c>
    </row>
    <row r="53" spans="1:3" ht="15" x14ac:dyDescent="0.15">
      <c r="A53" s="2" t="s">
        <v>38</v>
      </c>
      <c r="B53" s="6" t="str">
        <f t="shared" si="1"/>
        <v>36.1699412</v>
      </c>
      <c r="C53" t="str">
        <f t="shared" si="0"/>
        <v>-115.1398296</v>
      </c>
    </row>
    <row r="54" spans="1:3" ht="15" x14ac:dyDescent="0.15">
      <c r="A54" s="2" t="s">
        <v>41</v>
      </c>
      <c r="B54" s="6" t="str">
        <f t="shared" si="1"/>
        <v>29.7604267</v>
      </c>
      <c r="C54" t="str">
        <f t="shared" si="0"/>
        <v>-95.3698028</v>
      </c>
    </row>
    <row r="55" spans="1:3" ht="15" x14ac:dyDescent="0.15">
      <c r="A55" s="2" t="s">
        <v>44</v>
      </c>
      <c r="B55" s="6" t="str">
        <f t="shared" si="1"/>
        <v>37.2358078</v>
      </c>
      <c r="C55" t="str">
        <f t="shared" si="0"/>
        <v>-121.9623751</v>
      </c>
    </row>
    <row r="56" spans="1:3" ht="15" x14ac:dyDescent="0.15">
      <c r="A56" s="2" t="s">
        <v>47</v>
      </c>
      <c r="B56" s="6" t="str">
        <f t="shared" si="1"/>
        <v>32.96179</v>
      </c>
      <c r="C56" t="str">
        <f t="shared" si="0"/>
        <v>-96.82916850000001</v>
      </c>
    </row>
    <row r="57" spans="1:3" ht="15" x14ac:dyDescent="0.15">
      <c r="A57" s="2" t="s">
        <v>51</v>
      </c>
      <c r="B57" s="6" t="str">
        <f t="shared" si="1"/>
        <v>47.6101497</v>
      </c>
      <c r="C57" t="str">
        <f t="shared" si="0"/>
        <v>-122.2015159</v>
      </c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P R 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Liuchenwei</dc:creator>
  <cp:lastModifiedBy>Liuchenwei</cp:lastModifiedBy>
  <dcterms:created xsi:type="dcterms:W3CDTF">2016-12-30T00:52:43Z</dcterms:created>
  <dcterms:modified xsi:type="dcterms:W3CDTF">2017-01-05T11:05:01Z</dcterms:modified>
</cp:coreProperties>
</file>